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E:\University\КИТ\"/>
    </mc:Choice>
  </mc:AlternateContent>
  <bookViews>
    <workbookView xWindow="0" yWindow="0" windowWidth="19200" windowHeight="6325"/>
  </bookViews>
  <sheets>
    <sheet name="Заставка" sheetId="1" r:id="rId1"/>
    <sheet name="Исходные данные" sheetId="2" r:id="rId2"/>
    <sheet name="Решение" sheetId="3" r:id="rId3"/>
    <sheet name="Диаграмма" sheetId="4" r:id="rId4"/>
  </sheets>
  <calcPr calcId="162913"/>
</workbook>
</file>

<file path=xl/calcChain.xml><?xml version="1.0" encoding="utf-8"?>
<calcChain xmlns="http://schemas.openxmlformats.org/spreadsheetml/2006/main">
  <c r="C5" i="3" l="1"/>
  <c r="C9" i="3" s="1"/>
  <c r="D8" i="3"/>
  <c r="C8" i="3"/>
  <c r="D7" i="3"/>
  <c r="C7" i="3"/>
  <c r="E7" i="2"/>
  <c r="E12" i="2"/>
  <c r="D5" i="3"/>
  <c r="D6" i="3" s="1"/>
  <c r="D10" i="3" s="1"/>
  <c r="D9" i="3" l="1"/>
  <c r="C6" i="3"/>
  <c r="C10" i="3" s="1"/>
</calcChain>
</file>

<file path=xl/sharedStrings.xml><?xml version="1.0" encoding="utf-8"?>
<sst xmlns="http://schemas.openxmlformats.org/spreadsheetml/2006/main" count="27" uniqueCount="24">
  <si>
    <t>Показатель</t>
  </si>
  <si>
    <t>Базисный период</t>
  </si>
  <si>
    <t>Отчётный период</t>
  </si>
  <si>
    <r>
      <t>Произведено продукции в сопоставимых ценах (</t>
    </r>
    <r>
      <rPr>
        <b/>
        <i/>
        <sz val="10"/>
        <rFont val="Tahoma"/>
        <family val="2"/>
        <charset val="204"/>
      </rPr>
      <t>Q</t>
    </r>
    <r>
      <rPr>
        <b/>
        <sz val="10"/>
        <rFont val="Tahoma"/>
        <family val="2"/>
        <charset val="204"/>
      </rPr>
      <t>), млн.руб.</t>
    </r>
  </si>
  <si>
    <r>
      <t>Отработанное рабочими время (</t>
    </r>
    <r>
      <rPr>
        <b/>
        <i/>
        <sz val="10"/>
        <rFont val="Tahoma"/>
        <family val="2"/>
        <charset val="204"/>
      </rPr>
      <t>Т</t>
    </r>
    <r>
      <rPr>
        <b/>
        <i/>
        <vertAlign val="subscript"/>
        <sz val="10"/>
        <rFont val="Tahoma"/>
        <family val="2"/>
        <charset val="204"/>
      </rPr>
      <t>фд</t>
    </r>
    <r>
      <rPr>
        <b/>
        <sz val="10"/>
        <rFont val="Tahoma"/>
        <family val="2"/>
        <charset val="204"/>
      </rPr>
      <t>), чел.-дней</t>
    </r>
  </si>
  <si>
    <r>
      <t>Целодневные простои (</t>
    </r>
    <r>
      <rPr>
        <b/>
        <i/>
        <sz val="10"/>
        <rFont val="Tahoma"/>
        <family val="2"/>
        <charset val="204"/>
      </rPr>
      <t>Т</t>
    </r>
    <r>
      <rPr>
        <b/>
        <i/>
        <vertAlign val="subscript"/>
        <sz val="10"/>
        <rFont val="Tahoma"/>
        <family val="2"/>
        <charset val="204"/>
      </rPr>
      <t>п</t>
    </r>
    <r>
      <rPr>
        <b/>
        <sz val="10"/>
        <rFont val="Tahoma"/>
        <family val="2"/>
        <charset val="204"/>
      </rPr>
      <t>), чел.-дней</t>
    </r>
  </si>
  <si>
    <r>
      <t>Сумма всех неявок рабочих (</t>
    </r>
    <r>
      <rPr>
        <b/>
        <i/>
        <sz val="10"/>
        <rFont val="Tahoma"/>
        <family val="2"/>
        <charset val="204"/>
      </rPr>
      <t>Т</t>
    </r>
    <r>
      <rPr>
        <b/>
        <i/>
        <vertAlign val="subscript"/>
        <sz val="10"/>
        <rFont val="Tahoma"/>
        <family val="2"/>
        <charset val="204"/>
      </rPr>
      <t>ня</t>
    </r>
    <r>
      <rPr>
        <b/>
        <sz val="10"/>
        <rFont val="Tahoma"/>
        <family val="2"/>
        <charset val="204"/>
      </rPr>
      <t>), чел.-дней</t>
    </r>
  </si>
  <si>
    <r>
      <t>Средняя продолжительность рабочего дня (</t>
    </r>
    <r>
      <rPr>
        <b/>
        <i/>
        <sz val="10"/>
        <rFont val="Tahoma"/>
        <family val="2"/>
        <charset val="204"/>
      </rPr>
      <t>Т</t>
    </r>
    <r>
      <rPr>
        <b/>
        <i/>
        <vertAlign val="subscript"/>
        <sz val="10"/>
        <rFont val="Tahoma"/>
        <family val="2"/>
        <charset val="204"/>
      </rPr>
      <t>рд</t>
    </r>
    <r>
      <rPr>
        <b/>
        <sz val="10"/>
        <rFont val="Tahoma"/>
        <family val="2"/>
        <charset val="204"/>
      </rPr>
      <t>), час.</t>
    </r>
  </si>
  <si>
    <t>Количество календарных дней в периоде (Д)</t>
  </si>
  <si>
    <t>Период</t>
  </si>
  <si>
    <r>
      <t>Доля рабочих (</t>
    </r>
    <r>
      <rPr>
        <b/>
        <i/>
        <sz val="10"/>
        <rFont val="Tahoma"/>
        <family val="2"/>
        <charset val="204"/>
      </rPr>
      <t>d</t>
    </r>
    <r>
      <rPr>
        <b/>
        <i/>
        <vertAlign val="subscript"/>
        <sz val="10"/>
        <rFont val="Tahoma"/>
        <family val="2"/>
        <charset val="204"/>
      </rPr>
      <t>p</t>
    </r>
    <r>
      <rPr>
        <b/>
        <sz val="10"/>
        <rFont val="Tahoma"/>
        <family val="2"/>
        <charset val="204"/>
      </rPr>
      <t>) в численности промышленно-производственного персонала, %</t>
    </r>
  </si>
  <si>
    <t>Среднесписочное число работающих (Т), чел.</t>
  </si>
  <si>
    <t>Средняя месячная выработка на одного работающего (w), тыс.руб.</t>
  </si>
  <si>
    <t>базисный</t>
  </si>
  <si>
    <t>отчётный</t>
  </si>
  <si>
    <t>На одного рабочего</t>
  </si>
  <si>
    <t>На одного работающего</t>
  </si>
  <si>
    <r>
      <t xml:space="preserve">   Данная ЭТ позволяет автоматизировать расчёт:                                                                               а) среднесписочного числа рабочих (Тр) и работающих (Т) за каждый период;                                                                                            б) показателей уровня производительности труда за каждый период – среднюю часовую (w</t>
    </r>
    <r>
      <rPr>
        <i/>
        <vertAlign val="subscript"/>
        <sz val="10"/>
        <rFont val="Tahoma"/>
        <family val="2"/>
        <charset val="204"/>
      </rPr>
      <t>ч</t>
    </r>
    <r>
      <rPr>
        <i/>
        <sz val="10"/>
        <rFont val="Tahoma"/>
        <family val="2"/>
        <charset val="204"/>
      </rPr>
      <t>) и среднюю дневную выработку (w</t>
    </r>
    <r>
      <rPr>
        <i/>
        <vertAlign val="subscript"/>
        <sz val="10"/>
        <rFont val="Tahoma"/>
        <family val="2"/>
        <charset val="204"/>
      </rPr>
      <t>д</t>
    </r>
    <r>
      <rPr>
        <i/>
        <sz val="10"/>
        <rFont val="Tahoma"/>
        <family val="2"/>
        <charset val="204"/>
      </rPr>
      <t>) рабочего, среднюю месячную выработку на одного рабочего (w</t>
    </r>
    <r>
      <rPr>
        <i/>
        <vertAlign val="subscript"/>
        <sz val="10"/>
        <rFont val="Tahoma"/>
        <family val="2"/>
        <charset val="204"/>
      </rPr>
      <t>р</t>
    </r>
    <r>
      <rPr>
        <i/>
        <sz val="10"/>
        <rFont val="Tahoma"/>
        <family val="2"/>
        <charset val="204"/>
      </rPr>
      <t>) и на одного работающего (w) из расчёта, что в каждом периоде 30 календарных дней (Д=30).</t>
    </r>
  </si>
  <si>
    <r>
      <t>Среднесписочное число рабочих (Т</t>
    </r>
    <r>
      <rPr>
        <b/>
        <vertAlign val="subscript"/>
        <sz val="10"/>
        <color theme="6" tint="-0.499984740745262"/>
        <rFont val="Arial"/>
        <family val="2"/>
        <charset val="204"/>
      </rPr>
      <t>р</t>
    </r>
    <r>
      <rPr>
        <b/>
        <sz val="10"/>
        <color theme="6" tint="-0.499984740745262"/>
        <rFont val="Arial"/>
        <family val="2"/>
        <charset val="204"/>
      </rPr>
      <t>), чел.</t>
    </r>
  </si>
  <si>
    <r>
      <t>Средняя часовая выработка рабочего (w</t>
    </r>
    <r>
      <rPr>
        <b/>
        <vertAlign val="subscript"/>
        <sz val="10"/>
        <color theme="6" tint="-0.499984740745262"/>
        <rFont val="Arial"/>
        <family val="2"/>
        <charset val="204"/>
      </rPr>
      <t>ч</t>
    </r>
    <r>
      <rPr>
        <b/>
        <sz val="10"/>
        <color theme="6" tint="-0.499984740745262"/>
        <rFont val="Arial"/>
        <family val="2"/>
        <charset val="204"/>
      </rPr>
      <t>), тыс.руб.</t>
    </r>
  </si>
  <si>
    <r>
      <t>Средняя дневная выработка рабочего (w</t>
    </r>
    <r>
      <rPr>
        <b/>
        <vertAlign val="subscript"/>
        <sz val="10"/>
        <color theme="6" tint="-0.499984740745262"/>
        <rFont val="Arial"/>
        <family val="2"/>
        <charset val="204"/>
      </rPr>
      <t>д</t>
    </r>
    <r>
      <rPr>
        <b/>
        <sz val="10"/>
        <color theme="6" tint="-0.499984740745262"/>
        <rFont val="Arial"/>
        <family val="2"/>
        <charset val="204"/>
      </rPr>
      <t>), тыс.руб.</t>
    </r>
  </si>
  <si>
    <r>
      <t>Средняя месячная выработка на одного рабочего (w</t>
    </r>
    <r>
      <rPr>
        <b/>
        <vertAlign val="subscript"/>
        <sz val="10"/>
        <color theme="6" tint="-0.499984740745262"/>
        <rFont val="Arial"/>
        <family val="2"/>
        <charset val="204"/>
      </rPr>
      <t>р</t>
    </r>
    <r>
      <rPr>
        <b/>
        <sz val="10"/>
        <color theme="6" tint="-0.499984740745262"/>
        <rFont val="Arial"/>
        <family val="2"/>
        <charset val="204"/>
      </rPr>
      <t>), тыс.руб.</t>
    </r>
  </si>
  <si>
    <t>Таблица 2</t>
  </si>
  <si>
    <t>Таблица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</si>
</sst>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17" x14ac:knownFonts="1">
    <font>
      <sz val="10"/>
      <name val="Arial"/>
      <charset val="204"/>
    </font>
    <font>
      <sz val="10"/>
      <name val="Tahoma"/>
      <family val="2"/>
      <charset val="204"/>
    </font>
    <font>
      <i/>
      <sz val="10"/>
      <name val="Tahoma"/>
      <family val="2"/>
      <charset val="204"/>
    </font>
    <font>
      <i/>
      <vertAlign val="subscript"/>
      <sz val="10"/>
      <name val="Tahoma"/>
      <family val="2"/>
      <charset val="204"/>
    </font>
    <font>
      <b/>
      <sz val="10"/>
      <name val="Tahoma"/>
      <family val="2"/>
      <charset val="204"/>
    </font>
    <font>
      <b/>
      <i/>
      <sz val="10"/>
      <name val="Tahoma"/>
      <family val="2"/>
      <charset val="204"/>
    </font>
    <font>
      <b/>
      <i/>
      <vertAlign val="subscript"/>
      <sz val="10"/>
      <name val="Tahoma"/>
      <family val="2"/>
      <charset val="204"/>
    </font>
    <font>
      <b/>
      <sz val="10"/>
      <name val="Arial"/>
      <family val="2"/>
      <charset val="204"/>
    </font>
    <font>
      <b/>
      <sz val="10"/>
      <color indexed="10"/>
      <name val="Tahoma"/>
      <family val="2"/>
      <charset val="204"/>
    </font>
    <font>
      <b/>
      <sz val="10"/>
      <color indexed="9"/>
      <name val="Arial"/>
      <family val="2"/>
      <charset val="204"/>
    </font>
    <font>
      <b/>
      <i/>
      <sz val="11"/>
      <color theme="6" tint="-0.499984740745262"/>
      <name val="Tahoma"/>
      <family val="2"/>
      <charset val="204"/>
    </font>
    <font>
      <i/>
      <sz val="10"/>
      <name val="Arial"/>
      <family val="2"/>
      <charset val="204"/>
    </font>
    <font>
      <b/>
      <i/>
      <sz val="11"/>
      <name val="Arial"/>
      <family val="2"/>
      <charset val="204"/>
    </font>
    <font>
      <b/>
      <sz val="10"/>
      <color theme="6" tint="-0.499984740745262"/>
      <name val="Arial"/>
      <family val="2"/>
      <charset val="204"/>
    </font>
    <font>
      <b/>
      <vertAlign val="subscript"/>
      <sz val="10"/>
      <color theme="6" tint="-0.499984740745262"/>
      <name val="Arial"/>
      <family val="2"/>
      <charset val="204"/>
    </font>
    <font>
      <sz val="11"/>
      <name val="Tahoma"/>
      <family val="2"/>
      <charset val="204"/>
    </font>
    <font>
      <sz val="11"/>
      <name val="Arial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9DDBB"/>
        <bgColor indexed="64"/>
      </patternFill>
    </fill>
    <fill>
      <patternFill patternType="solid">
        <fgColor rgb="FFF2F7DD"/>
        <bgColor indexed="64"/>
      </patternFill>
    </fill>
    <fill>
      <patternFill patternType="solid">
        <fgColor rgb="FFFFFEE1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justify"/>
    </xf>
    <xf numFmtId="0" fontId="1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1" fillId="2" borderId="0" xfId="0" applyFont="1" applyFill="1" applyBorder="1" applyAlignment="1"/>
    <xf numFmtId="0" fontId="4" fillId="2" borderId="0" xfId="0" applyFont="1" applyFill="1"/>
    <xf numFmtId="0" fontId="8" fillId="2" borderId="0" xfId="0" applyFont="1" applyFill="1"/>
    <xf numFmtId="0" fontId="4" fillId="0" borderId="16" xfId="0" applyFont="1" applyBorder="1" applyAlignment="1">
      <alignment horizontal="left" vertical="center" wrapText="1" indent="1"/>
    </xf>
    <xf numFmtId="0" fontId="4" fillId="0" borderId="21" xfId="0" applyFont="1" applyBorder="1" applyAlignment="1">
      <alignment horizontal="left" vertical="center" indent="1"/>
    </xf>
    <xf numFmtId="0" fontId="10" fillId="0" borderId="18" xfId="0" applyFont="1" applyBorder="1" applyAlignment="1">
      <alignment horizontal="center" vertical="center" wrapText="1"/>
    </xf>
    <xf numFmtId="0" fontId="10" fillId="0" borderId="19" xfId="0" applyFont="1" applyBorder="1" applyAlignment="1">
      <alignment horizontal="center" vertical="center" wrapText="1"/>
    </xf>
    <xf numFmtId="0" fontId="10" fillId="0" borderId="20" xfId="0" applyFont="1" applyBorder="1" applyAlignment="1">
      <alignment horizontal="center" vertical="center" wrapText="1"/>
    </xf>
    <xf numFmtId="0" fontId="0" fillId="4" borderId="0" xfId="0" applyFill="1"/>
    <xf numFmtId="0" fontId="0" fillId="6" borderId="0" xfId="0" applyFill="1"/>
    <xf numFmtId="0" fontId="7" fillId="6" borderId="0" xfId="0" applyFont="1" applyFill="1"/>
    <xf numFmtId="0" fontId="9" fillId="6" borderId="0" xfId="0" applyFont="1" applyFill="1"/>
    <xf numFmtId="0" fontId="12" fillId="5" borderId="8" xfId="0" applyFont="1" applyFill="1" applyBorder="1" applyAlignment="1">
      <alignment horizontal="center" vertical="center" wrapText="1"/>
    </xf>
    <xf numFmtId="0" fontId="12" fillId="5" borderId="9" xfId="0" applyFont="1" applyFill="1" applyBorder="1" applyAlignment="1">
      <alignment horizontal="center" vertical="center" wrapText="1"/>
    </xf>
    <xf numFmtId="0" fontId="13" fillId="7" borderId="23" xfId="0" applyFont="1" applyFill="1" applyBorder="1" applyAlignment="1">
      <alignment horizontal="left" vertical="center" indent="1"/>
    </xf>
    <xf numFmtId="2" fontId="13" fillId="7" borderId="2" xfId="0" applyNumberFormat="1" applyFont="1" applyFill="1" applyBorder="1" applyAlignment="1">
      <alignment horizontal="center" vertical="center"/>
    </xf>
    <xf numFmtId="2" fontId="13" fillId="7" borderId="5" xfId="0" applyNumberFormat="1" applyFont="1" applyFill="1" applyBorder="1" applyAlignment="1">
      <alignment horizontal="center" vertical="center"/>
    </xf>
    <xf numFmtId="0" fontId="13" fillId="7" borderId="24" xfId="0" applyFont="1" applyFill="1" applyBorder="1" applyAlignment="1">
      <alignment horizontal="left" vertical="center" indent="1"/>
    </xf>
    <xf numFmtId="2" fontId="13" fillId="7" borderId="3" xfId="0" applyNumberFormat="1" applyFont="1" applyFill="1" applyBorder="1" applyAlignment="1">
      <alignment horizontal="center" vertical="center"/>
    </xf>
    <xf numFmtId="2" fontId="13" fillId="7" borderId="6" xfId="0" applyNumberFormat="1" applyFont="1" applyFill="1" applyBorder="1" applyAlignment="1">
      <alignment horizontal="center" vertical="center"/>
    </xf>
    <xf numFmtId="165" fontId="13" fillId="7" borderId="3" xfId="0" applyNumberFormat="1" applyFont="1" applyFill="1" applyBorder="1" applyAlignment="1">
      <alignment horizontal="center" vertical="center"/>
    </xf>
    <xf numFmtId="165" fontId="13" fillId="7" borderId="6" xfId="0" applyNumberFormat="1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left" vertical="center" indent="1"/>
    </xf>
    <xf numFmtId="165" fontId="13" fillId="7" borderId="4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wrapText="1"/>
    </xf>
    <xf numFmtId="0" fontId="0" fillId="2" borderId="0" xfId="0" applyFill="1" applyBorder="1" applyAlignment="1">
      <alignment wrapText="1"/>
    </xf>
    <xf numFmtId="0" fontId="0" fillId="0" borderId="0" xfId="0" applyBorder="1" applyAlignment="1">
      <alignment wrapText="1"/>
    </xf>
    <xf numFmtId="0" fontId="8" fillId="0" borderId="10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8" fillId="0" borderId="0" xfId="0" applyFont="1" applyBorder="1" applyAlignment="1">
      <alignment horizontal="center" wrapText="1"/>
    </xf>
    <xf numFmtId="0" fontId="0" fillId="0" borderId="0" xfId="0" applyAlignment="1">
      <alignment horizontal="center" wrapText="1"/>
    </xf>
    <xf numFmtId="0" fontId="8" fillId="0" borderId="10" xfId="0" applyFont="1" applyBorder="1" applyAlignment="1">
      <alignment horizontal="center" wrapText="1"/>
    </xf>
    <xf numFmtId="0" fontId="8" fillId="0" borderId="0" xfId="0" applyFont="1" applyAlignment="1">
      <alignment horizontal="center" wrapText="1"/>
    </xf>
    <xf numFmtId="0" fontId="2" fillId="3" borderId="11" xfId="0" applyFont="1" applyFill="1" applyBorder="1" applyAlignment="1">
      <alignment horizontal="left" vertical="center" wrapText="1"/>
    </xf>
    <xf numFmtId="0" fontId="11" fillId="3" borderId="12" xfId="0" applyFont="1" applyFill="1" applyBorder="1" applyAlignment="1">
      <alignment horizontal="left" vertical="center" wrapText="1"/>
    </xf>
    <xf numFmtId="0" fontId="11" fillId="3" borderId="13" xfId="0" applyFont="1" applyFill="1" applyBorder="1" applyAlignment="1">
      <alignment horizontal="left" vertical="center" wrapText="1"/>
    </xf>
    <xf numFmtId="0" fontId="12" fillId="5" borderId="14" xfId="0" applyFont="1" applyFill="1" applyBorder="1" applyAlignment="1">
      <alignment horizontal="center" vertical="center"/>
    </xf>
    <xf numFmtId="0" fontId="12" fillId="5" borderId="15" xfId="0" applyFont="1" applyFill="1" applyBorder="1" applyAlignment="1">
      <alignment horizontal="center" vertical="center"/>
    </xf>
    <xf numFmtId="0" fontId="12" fillId="5" borderId="11" xfId="0" applyFont="1" applyFill="1" applyBorder="1" applyAlignment="1">
      <alignment horizontal="center" vertical="center"/>
    </xf>
    <xf numFmtId="0" fontId="12" fillId="5" borderId="13" xfId="0" applyFont="1" applyFill="1" applyBorder="1" applyAlignment="1">
      <alignment horizontal="center" vertical="center"/>
    </xf>
    <xf numFmtId="1" fontId="4" fillId="0" borderId="1" xfId="0" applyNumberFormat="1" applyFont="1" applyBorder="1" applyAlignment="1" applyProtection="1">
      <alignment horizontal="center" vertical="center" wrapText="1"/>
      <protection locked="0"/>
    </xf>
    <xf numFmtId="1" fontId="4" fillId="0" borderId="7" xfId="0" applyNumberFormat="1" applyFont="1" applyBorder="1" applyAlignment="1" applyProtection="1">
      <alignment horizontal="center" vertical="center" wrapText="1"/>
      <protection locked="0"/>
    </xf>
    <xf numFmtId="164" fontId="4" fillId="0" borderId="1" xfId="0" applyNumberFormat="1" applyFont="1" applyBorder="1" applyAlignment="1" applyProtection="1">
      <alignment horizontal="center" vertical="center" wrapText="1"/>
      <protection locked="0"/>
    </xf>
    <xf numFmtId="164" fontId="4" fillId="0" borderId="7" xfId="0" applyNumberFormat="1" applyFont="1" applyBorder="1" applyAlignment="1" applyProtection="1">
      <alignment horizontal="center" vertical="center" wrapText="1"/>
      <protection locked="0"/>
    </xf>
    <xf numFmtId="1" fontId="4" fillId="0" borderId="17" xfId="0" applyNumberFormat="1" applyFont="1" applyBorder="1" applyAlignment="1" applyProtection="1">
      <alignment horizontal="center" vertical="center" wrapText="1"/>
      <protection locked="0"/>
    </xf>
    <xf numFmtId="0" fontId="4" fillId="0" borderId="17" xfId="0" applyFont="1" applyBorder="1" applyAlignment="1">
      <alignment horizontal="center" vertical="center"/>
    </xf>
    <xf numFmtId="0" fontId="15" fillId="2" borderId="0" xfId="0" applyFont="1" applyFill="1" applyBorder="1" applyAlignment="1">
      <alignment horizontal="left" wrapText="1"/>
    </xf>
    <xf numFmtId="0" fontId="16" fillId="6" borderId="0" xfId="0" applyFont="1" applyFill="1"/>
    <xf numFmtId="0" fontId="16" fillId="4" borderId="0" xfId="0" applyFont="1" applyFill="1" applyAlignment="1">
      <alignment horizontal="center"/>
    </xf>
  </cellXfs>
  <cellStyles count="1">
    <cellStyle name="Обычный" xfId="0" builtinId="0"/>
  </cellStyles>
  <dxfs count="13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scheme val="none"/>
      </font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Arial"/>
        <scheme val="none"/>
      </font>
      <fill>
        <patternFill patternType="solid">
          <fgColor indexed="64"/>
          <bgColor rgb="FFFFFEE1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Arial"/>
        <scheme val="none"/>
      </font>
      <fill>
        <patternFill patternType="solid">
          <fgColor indexed="64"/>
          <bgColor rgb="FFFFFEE1"/>
        </patternFill>
      </fill>
      <alignment horizontal="left" vertical="center" textRotation="0" wrapText="0" indent="1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6" tint="-0.499984740745262"/>
        <name val="Arial"/>
        <scheme val="none"/>
      </font>
      <fill>
        <patternFill patternType="solid">
          <fgColor indexed="64"/>
          <bgColor rgb="FFFFFEE1"/>
        </patternFill>
      </fill>
      <alignment horizontal="left" vertical="center" textRotation="0" wrapText="0" indent="1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6" tint="-0.499984740745262"/>
        <name val="Tahoma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mruColors>
      <color rgb="FFFFFEE1"/>
      <color rgb="FFC9DDBB"/>
      <color rgb="FFD0EBAD"/>
      <color rgb="FFF2F7DD"/>
      <color rgb="FFFFFFCC"/>
      <color rgb="FF339966"/>
      <color rgb="FFEBF2E6"/>
      <color rgb="FFCCF0D5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ru-RU" sz="1600" i="1"/>
              <a:t>Средняя  месячная  выработка</a:t>
            </a:r>
          </a:p>
        </c:rich>
      </c:tx>
      <c:layout>
        <c:manualLayout>
          <c:xMode val="edge"/>
          <c:yMode val="edge"/>
          <c:x val="0.29370647946115169"/>
          <c:y val="2.2265896353299657E-2"/>
        </c:manualLayout>
      </c:layout>
      <c:overlay val="0"/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>
          <a:outerShdw blurRad="50800" dist="50800" dir="5400000" sx="102000" sy="102000" algn="ctr" rotWithShape="0">
            <a:srgbClr val="000000">
              <a:alpha val="16000"/>
            </a:srgb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0.11421911421911422"/>
          <c:y val="0.12307692307692308"/>
          <c:w val="0.74779814144853507"/>
          <c:h val="0.627470465240857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Решение!$B$9</c:f>
              <c:strCache>
                <c:ptCount val="1"/>
                <c:pt idx="0">
                  <c:v>Средняя месячная выработка на одного рабочего (wр), тыс.руб.</c:v>
                </c:pt>
              </c:strCache>
            </c:strRef>
          </c:tx>
          <c:spPr>
            <a:gradFill flip="none" rotWithShape="1">
              <a:gsLst>
                <a:gs pos="0">
                  <a:schemeClr val="accent5">
                    <a:lumMod val="67000"/>
                  </a:schemeClr>
                </a:gs>
                <a:gs pos="48000">
                  <a:schemeClr val="accent5">
                    <a:lumMod val="97000"/>
                    <a:lumOff val="3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 w="12700">
              <a:solidFill>
                <a:schemeClr val="tx1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 flip="none" rotWithShape="1">
                <a:gsLst>
                  <a:gs pos="0">
                    <a:schemeClr val="accent5">
                      <a:lumMod val="67000"/>
                    </a:schemeClr>
                  </a:gs>
                  <a:gs pos="48000">
                    <a:schemeClr val="accent5">
                      <a:lumMod val="97000"/>
                      <a:lumOff val="3000"/>
                    </a:schemeClr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 w="12700">
                <a:solidFill>
                  <a:schemeClr val="tx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F708-4F61-96D1-5F5592E5E572}"/>
              </c:ext>
            </c:extLst>
          </c:dPt>
          <c:dPt>
            <c:idx val="1"/>
            <c:invertIfNegative val="0"/>
            <c:bubble3D val="0"/>
            <c:spPr>
              <a:gradFill flip="none" rotWithShape="1">
                <a:gsLst>
                  <a:gs pos="0">
                    <a:schemeClr val="accent5">
                      <a:lumMod val="67000"/>
                    </a:schemeClr>
                  </a:gs>
                  <a:gs pos="48000">
                    <a:schemeClr val="accent5">
                      <a:lumMod val="97000"/>
                      <a:lumOff val="3000"/>
                    </a:schemeClr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 w="12700">
                <a:solidFill>
                  <a:schemeClr val="tx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F708-4F61-96D1-5F5592E5E572}"/>
              </c:ext>
            </c:extLst>
          </c:dPt>
          <c:dLbls>
            <c:spPr>
              <a:solidFill>
                <a:schemeClr val="bg1"/>
              </a:solidFill>
              <a:ln w="25400">
                <a:noFill/>
              </a:ln>
            </c:spPr>
            <c:txPr>
              <a:bodyPr/>
              <a:lstStyle/>
              <a:p>
                <a:pPr algn="ctr">
                  <a:defRPr lang="ru-RU" sz="1100" b="1" i="1" u="none" strike="noStrike" kern="1200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Решение!$C$4:$D$4</c:f>
              <c:strCache>
                <c:ptCount val="2"/>
                <c:pt idx="0">
                  <c:v>базисный</c:v>
                </c:pt>
                <c:pt idx="1">
                  <c:v>отчётный</c:v>
                </c:pt>
              </c:strCache>
            </c:strRef>
          </c:cat>
          <c:val>
            <c:numRef>
              <c:f>Решение!$C$9:$D$9</c:f>
              <c:numCache>
                <c:formatCode>0.000</c:formatCode>
                <c:ptCount val="2"/>
                <c:pt idx="0">
                  <c:v>1728.624535315985</c:v>
                </c:pt>
                <c:pt idx="1">
                  <c:v>1692.7551560021152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08-4F61-96D1-5F5592E5E572}"/>
            </c:ext>
          </c:extLst>
        </c:ser>
        <c:ser>
          <c:idx val="1"/>
          <c:order val="1"/>
          <c:tx>
            <c:strRef>
              <c:f>Решение!$B$10</c:f>
              <c:strCache>
                <c:ptCount val="1"/>
                <c:pt idx="0">
                  <c:v>Средняя месячная выработка на одного работающего (w), тыс.руб.</c:v>
                </c:pt>
              </c:strCache>
            </c:strRef>
          </c:tx>
          <c:spPr>
            <a:gradFill flip="none" rotWithShape="1">
              <a:gsLst>
                <a:gs pos="0">
                  <a:schemeClr val="accent4">
                    <a:lumMod val="89000"/>
                  </a:schemeClr>
                </a:gs>
                <a:gs pos="23000">
                  <a:schemeClr val="accent4">
                    <a:lumMod val="89000"/>
                  </a:schemeClr>
                </a:gs>
                <a:gs pos="69000">
                  <a:schemeClr val="accent4">
                    <a:lumMod val="75000"/>
                  </a:schemeClr>
                </a:gs>
                <a:gs pos="97000">
                  <a:schemeClr val="accent4">
                    <a:lumMod val="70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n w="12700">
              <a:gradFill>
                <a:gsLst>
                  <a:gs pos="0">
                    <a:srgbClr val="FFFFCC"/>
                  </a:gs>
                  <a:gs pos="100000">
                    <a:schemeClr val="bg1"/>
                  </a:gs>
                </a:gsLst>
                <a:lin ang="5400000" scaled="1"/>
              </a:gra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 flip="none" rotWithShape="1">
                <a:gsLst>
                  <a:gs pos="0">
                    <a:schemeClr val="accent4">
                      <a:lumMod val="89000"/>
                    </a:schemeClr>
                  </a:gs>
                  <a:gs pos="23000">
                    <a:schemeClr val="accent4">
                      <a:lumMod val="89000"/>
                    </a:schemeClr>
                  </a:gs>
                  <a:gs pos="69000">
                    <a:schemeClr val="accent4">
                      <a:lumMod val="75000"/>
                    </a:schemeClr>
                  </a:gs>
                  <a:gs pos="97000">
                    <a:schemeClr val="accent4">
                      <a:lumMod val="70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F708-4F61-96D1-5F5592E5E572}"/>
              </c:ext>
            </c:extLst>
          </c:dPt>
          <c:dPt>
            <c:idx val="1"/>
            <c:invertIfNegative val="0"/>
            <c:bubble3D val="0"/>
            <c:spPr>
              <a:gradFill flip="none" rotWithShape="1">
                <a:gsLst>
                  <a:gs pos="0">
                    <a:schemeClr val="accent4">
                      <a:lumMod val="89000"/>
                    </a:schemeClr>
                  </a:gs>
                  <a:gs pos="23000">
                    <a:schemeClr val="accent4">
                      <a:lumMod val="89000"/>
                    </a:schemeClr>
                  </a:gs>
                  <a:gs pos="69000">
                    <a:schemeClr val="accent4">
                      <a:lumMod val="75000"/>
                    </a:schemeClr>
                  </a:gs>
                  <a:gs pos="97000">
                    <a:schemeClr val="accent4">
                      <a:lumMod val="70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n w="12700">
                <a:solidFill>
                  <a:schemeClr val="accent3">
                    <a:lumMod val="75000"/>
                  </a:schemeClr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F708-4F61-96D1-5F5592E5E572}"/>
              </c:ext>
            </c:extLst>
          </c:dPt>
          <c:dLbls>
            <c:spPr>
              <a:solidFill>
                <a:schemeClr val="bg1"/>
              </a:solidFill>
              <a:ln w="25400">
                <a:noFill/>
              </a:ln>
            </c:spPr>
            <c:txPr>
              <a:bodyPr/>
              <a:lstStyle/>
              <a:p>
                <a:pPr algn="ctr">
                  <a:defRPr lang="ru-RU" sz="1100" b="1" i="1" u="none" strike="noStrike" kern="1200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Решение!$C$4:$D$4</c:f>
              <c:strCache>
                <c:ptCount val="2"/>
                <c:pt idx="0">
                  <c:v>базисный</c:v>
                </c:pt>
                <c:pt idx="1">
                  <c:v>отчётный</c:v>
                </c:pt>
              </c:strCache>
            </c:strRef>
          </c:cat>
          <c:val>
            <c:numRef>
              <c:f>Решение!$C$10:$D$10</c:f>
              <c:numCache>
                <c:formatCode>0.000</c:formatCode>
                <c:ptCount val="2"/>
                <c:pt idx="0">
                  <c:v>1210.0371747211896</c:v>
                </c:pt>
                <c:pt idx="1">
                  <c:v>1320.3490216816499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08-4F61-96D1-5F5592E5E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9708048"/>
        <c:axId val="1"/>
      </c:barChart>
      <c:catAx>
        <c:axId val="110970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1"/>
                </a:pPr>
                <a:r>
                  <a:rPr lang="ru-RU" sz="1200" b="1" i="1"/>
                  <a:t>период</a:t>
                </a:r>
              </a:p>
            </c:rich>
          </c:tx>
          <c:layout>
            <c:manualLayout>
              <c:xMode val="edge"/>
              <c:yMode val="edge"/>
              <c:x val="0.82837638066326047"/>
              <c:y val="0.77003542443076123"/>
            </c:manualLayout>
          </c:layout>
          <c:overlay val="0"/>
        </c:title>
        <c:numFmt formatCode="General" sourceLinked="1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1" i="1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1" i="1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ru-RU" b="1"/>
                  <a:t>тыс.руб./чел.</a:t>
                </a:r>
              </a:p>
            </c:rich>
          </c:tx>
          <c:layout>
            <c:manualLayout>
              <c:xMode val="edge"/>
              <c:yMode val="edge"/>
              <c:x val="2.0978988437256155E-2"/>
              <c:y val="4.2357859629962365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1109708048"/>
        <c:crosses val="autoZero"/>
        <c:crossBetween val="between"/>
      </c:valAx>
      <c:spPr>
        <a:solidFill>
          <a:schemeClr val="bg1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9.8331033921964558E-2"/>
          <c:y val="0.82634754387758946"/>
          <c:w val="0.66839806469974383"/>
          <c:h val="0.1297607655502392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  <a:effectLst>
          <a:outerShdw blurRad="50800" dist="50800" dir="5400000" sx="103000" sy="103000" algn="ctr" rotWithShape="0">
            <a:srgbClr val="000000">
              <a:alpha val="22000"/>
            </a:srgbClr>
          </a:outerShdw>
        </a:effectLst>
      </c:spPr>
      <c:txPr>
        <a:bodyPr/>
        <a:lstStyle/>
        <a:p>
          <a:pPr>
            <a:defRPr sz="1200" b="1" i="1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EBF2E6"/>
    </a:solidFill>
    <a:ln w="3175">
      <a:solidFill>
        <a:srgbClr val="000000"/>
      </a:solidFill>
      <a:prstDash val="solid"/>
    </a:ln>
    <a:scene3d>
      <a:camera prst="orthographicFront"/>
      <a:lightRig rig="threePt" dir="t"/>
    </a:scene3d>
    <a:sp3d>
      <a:bevelT w="101600" prst="riblet"/>
    </a:sp3d>
  </c:spPr>
  <c:txPr>
    <a:bodyPr/>
    <a:lstStyle/>
    <a:p>
      <a:pPr>
        <a:defRPr sz="16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434975</xdr:colOff>
      <xdr:row>7</xdr:row>
      <xdr:rowOff>8477</xdr:rowOff>
    </xdr:from>
    <xdr:ext cx="9169411" cy="1433129"/>
    <xdr:sp macro="" textlink="">
      <xdr:nvSpPr>
        <xdr:cNvPr id="3" name="Прямоугольник 2"/>
        <xdr:cNvSpPr/>
      </xdr:nvSpPr>
      <xdr:spPr>
        <a:xfrm>
          <a:off x="1143000" y="1164177"/>
          <a:ext cx="9169411" cy="1433129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ru-RU" sz="4400" b="0" i="0" kern="10" cap="none" spc="0">
              <a:ln w="0"/>
              <a:solidFill>
                <a:schemeClr val="tx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Times New Roman"/>
              <a:cs typeface="Times New Roman"/>
            </a:rPr>
            <a:t>Анализ </a:t>
          </a:r>
          <a:r>
            <a:rPr lang="en-US" sz="4400" b="0" i="0" kern="10" cap="none" spc="0">
              <a:ln w="0"/>
              <a:solidFill>
                <a:schemeClr val="tx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Times New Roman"/>
              <a:cs typeface="Times New Roman"/>
            </a:rPr>
            <a:t> </a:t>
          </a:r>
          <a:r>
            <a:rPr lang="ru-RU" sz="4400" b="0" i="0" kern="10" cap="none" spc="0">
              <a:ln w="0"/>
              <a:solidFill>
                <a:schemeClr val="tx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Times New Roman"/>
              <a:cs typeface="Times New Roman"/>
            </a:rPr>
            <a:t>использования</a:t>
          </a:r>
          <a:r>
            <a:rPr lang="en-US" sz="4400" b="0" i="0" kern="10" cap="none" spc="0">
              <a:ln w="0"/>
              <a:solidFill>
                <a:schemeClr val="tx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Times New Roman"/>
              <a:cs typeface="Times New Roman"/>
            </a:rPr>
            <a:t> </a:t>
          </a:r>
          <a:r>
            <a:rPr lang="ru-RU" sz="4400" b="0" i="0" kern="10" cap="none" spc="0">
              <a:ln w="0"/>
              <a:solidFill>
                <a:schemeClr val="tx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Times New Roman"/>
              <a:cs typeface="Times New Roman"/>
            </a:rPr>
            <a:t> рабочего</a:t>
          </a:r>
          <a:r>
            <a:rPr lang="en-US" sz="4400" b="0" i="0" kern="10" cap="none" spc="0">
              <a:ln w="0"/>
              <a:solidFill>
                <a:schemeClr val="tx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Times New Roman"/>
              <a:cs typeface="Times New Roman"/>
            </a:rPr>
            <a:t> </a:t>
          </a:r>
          <a:r>
            <a:rPr lang="ru-RU" sz="4400" b="0" i="0" kern="10" cap="none" spc="0">
              <a:ln w="0"/>
              <a:solidFill>
                <a:schemeClr val="tx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Times New Roman"/>
              <a:cs typeface="Times New Roman"/>
            </a:rPr>
            <a:t> времени</a:t>
          </a:r>
          <a:endParaRPr lang="ru-RU" sz="4400" b="0" i="0" cap="none" spc="0">
            <a:ln w="0"/>
            <a:solidFill>
              <a:schemeClr val="tx1"/>
            </a:solidFill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136525</xdr:colOff>
      <xdr:row>1</xdr:row>
      <xdr:rowOff>158750</xdr:rowOff>
    </xdr:from>
    <xdr:to>
      <xdr:col>16</xdr:col>
      <xdr:colOff>425450</xdr:colOff>
      <xdr:row>30</xdr:row>
      <xdr:rowOff>0</xdr:rowOff>
    </xdr:to>
    <xdr:graphicFrame macro="">
      <xdr:nvGraphicFramePr>
        <xdr:cNvPr id="308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Таблица1" displayName="Таблица1" ref="B5:D12" totalsRowShown="0" headerRowDxfId="12" headerRowBorderDxfId="11" tableBorderDxfId="10" totalsRowBorderDxfId="9">
  <autoFilter ref="B5:D12"/>
  <tableColumns count="3">
    <tableColumn id="1" name="Показатель" dataDxfId="2"/>
    <tableColumn id="2" name="Базисный период" dataDxfId="1"/>
    <tableColumn id="3" name="Отчётный период" dataDxfId="0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id="5" name="Таблица5" displayName="Таблица5" ref="B5:B10" totalsRowShown="0" headerRowDxfId="8" dataDxfId="6" headerRowBorderDxfId="7" tableBorderDxfId="5" totalsRowBorderDxfId="4">
  <autoFilter ref="B5:B10"/>
  <tableColumns count="1">
    <tableColumn id="1" name="Среднесписочное число рабочих (Тр), чел." dataDxfId="3"/>
  </tableColumns>
  <tableStyleInfo name="TableStyleMedium25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8"/>
  <sheetViews>
    <sheetView showGridLines="0" tabSelected="1" workbookViewId="0">
      <selection activeCell="K1" sqref="K1"/>
    </sheetView>
  </sheetViews>
  <sheetFormatPr defaultRowHeight="13" x14ac:dyDescent="0.6"/>
  <cols>
    <col min="1" max="1" width="10.1328125" customWidth="1"/>
  </cols>
  <sheetData>
    <row r="18" ht="17.25" customHeight="1" x14ac:dyDescent="0.6"/>
  </sheetData>
  <sheetProtection sheet="1" objects="1" scenarios="1" selectLockedCells="1" selectUnlockedCells="1"/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K31"/>
  <sheetViews>
    <sheetView showGridLines="0" workbookViewId="0">
      <selection activeCell="C11" sqref="C11"/>
    </sheetView>
  </sheetViews>
  <sheetFormatPr defaultColWidth="9.1328125" defaultRowHeight="12.75" x14ac:dyDescent="0.55000000000000004"/>
  <cols>
    <col min="1" max="1" width="9.1328125" style="1"/>
    <col min="2" max="2" width="50.86328125" style="1" bestFit="1" customWidth="1"/>
    <col min="3" max="3" width="19.31640625" style="1" customWidth="1"/>
    <col min="4" max="4" width="19.453125" style="1" customWidth="1"/>
    <col min="5" max="16384" width="9.1328125" style="1"/>
  </cols>
  <sheetData>
    <row r="1" spans="2:11" s="3" customFormat="1" ht="13.5" customHeight="1" thickBot="1" x14ac:dyDescent="0.75">
      <c r="B1" s="29"/>
      <c r="C1" s="30"/>
      <c r="D1" s="30"/>
    </row>
    <row r="2" spans="2:11" s="3" customFormat="1" ht="84.75" customHeight="1" thickBot="1" x14ac:dyDescent="0.7">
      <c r="B2" s="39" t="s">
        <v>17</v>
      </c>
      <c r="C2" s="40"/>
      <c r="D2" s="41"/>
    </row>
    <row r="3" spans="2:11" ht="15" customHeight="1" x14ac:dyDescent="0.6">
      <c r="B3" s="29"/>
      <c r="C3" s="31"/>
      <c r="D3" s="31"/>
    </row>
    <row r="4" spans="2:11" ht="15" customHeight="1" x14ac:dyDescent="0.6">
      <c r="B4" s="52" t="s">
        <v>23</v>
      </c>
      <c r="C4" s="52"/>
      <c r="D4" s="52"/>
    </row>
    <row r="5" spans="2:11" ht="29.5" customHeight="1" x14ac:dyDescent="0.55000000000000004">
      <c r="B5" s="10" t="s">
        <v>0</v>
      </c>
      <c r="C5" s="11" t="s">
        <v>1</v>
      </c>
      <c r="D5" s="12" t="s">
        <v>2</v>
      </c>
    </row>
    <row r="6" spans="2:11" ht="26.25" customHeight="1" x14ac:dyDescent="0.55000000000000004">
      <c r="B6" s="8" t="s">
        <v>3</v>
      </c>
      <c r="C6" s="46">
        <v>1860</v>
      </c>
      <c r="D6" s="47">
        <v>2134</v>
      </c>
      <c r="E6" s="4"/>
      <c r="F6" s="4"/>
      <c r="G6" s="4"/>
      <c r="H6" s="4"/>
      <c r="I6" s="4"/>
      <c r="J6" s="4"/>
      <c r="K6" s="4"/>
    </row>
    <row r="7" spans="2:11" ht="25.5" customHeight="1" x14ac:dyDescent="0.55000000000000004">
      <c r="B7" s="8" t="s">
        <v>4</v>
      </c>
      <c r="C7" s="46">
        <v>24725</v>
      </c>
      <c r="D7" s="47">
        <v>30960</v>
      </c>
      <c r="E7" s="37" t="str">
        <f>IF(MIN(C7:D7)&lt;0,"Отработанное рабочими время в "&amp;IF(AND(C7&lt;0,D7&lt;0),C5&amp;" и "&amp;D5,IF(D7&lt;0,D5,C5))&amp;" не может быть отрицательно!!!","")</f>
        <v/>
      </c>
      <c r="F7" s="38"/>
      <c r="G7" s="38"/>
      <c r="H7" s="38"/>
      <c r="I7" s="38"/>
      <c r="J7" s="38"/>
      <c r="K7" s="38"/>
    </row>
    <row r="8" spans="2:11" ht="24" customHeight="1" x14ac:dyDescent="0.55000000000000004">
      <c r="B8" s="8" t="s">
        <v>5</v>
      </c>
      <c r="C8" s="46">
        <v>80</v>
      </c>
      <c r="D8" s="47">
        <v>150</v>
      </c>
      <c r="E8" s="37"/>
      <c r="F8" s="38"/>
      <c r="G8" s="38"/>
      <c r="H8" s="38"/>
      <c r="I8" s="38"/>
      <c r="J8" s="38"/>
      <c r="K8" s="38"/>
    </row>
    <row r="9" spans="2:11" ht="24" customHeight="1" x14ac:dyDescent="0.55000000000000004">
      <c r="B9" s="8" t="s">
        <v>6</v>
      </c>
      <c r="C9" s="46">
        <v>7475</v>
      </c>
      <c r="D9" s="47">
        <v>6710</v>
      </c>
      <c r="E9" s="37"/>
      <c r="F9" s="38"/>
      <c r="G9" s="38"/>
      <c r="H9" s="38"/>
      <c r="I9" s="38"/>
      <c r="J9" s="38"/>
      <c r="K9" s="38"/>
    </row>
    <row r="10" spans="2:11" ht="29.25" customHeight="1" x14ac:dyDescent="0.55000000000000004">
      <c r="B10" s="8" t="s">
        <v>7</v>
      </c>
      <c r="C10" s="48">
        <v>7.4</v>
      </c>
      <c r="D10" s="49">
        <v>7.5</v>
      </c>
      <c r="E10" s="37"/>
      <c r="F10" s="38"/>
      <c r="G10" s="38"/>
      <c r="H10" s="38"/>
      <c r="I10" s="38"/>
      <c r="J10" s="38"/>
      <c r="K10" s="38"/>
    </row>
    <row r="11" spans="2:11" ht="33.75" customHeight="1" x14ac:dyDescent="0.55000000000000004">
      <c r="B11" s="8" t="s">
        <v>10</v>
      </c>
      <c r="C11" s="46">
        <v>70</v>
      </c>
      <c r="D11" s="50">
        <v>78</v>
      </c>
      <c r="E11" s="32"/>
      <c r="F11" s="33"/>
      <c r="G11" s="34"/>
      <c r="H11" s="34"/>
      <c r="I11" s="34"/>
      <c r="J11" s="34"/>
      <c r="K11" s="34"/>
    </row>
    <row r="12" spans="2:11" ht="24" customHeight="1" x14ac:dyDescent="0.6">
      <c r="B12" s="9" t="s">
        <v>8</v>
      </c>
      <c r="C12" s="51">
        <v>30</v>
      </c>
      <c r="D12" s="51">
        <v>30</v>
      </c>
      <c r="E12" s="35" t="str">
        <f>IF(OR(MAX(C12:D12)&gt;30,MIN(C12:D12)&lt;1),"Количество календарных дней в "&amp;IF(AND(OR(C12&lt;1,C12&gt;30),OR(D12&lt;1,D12&gt;30)),C5&amp;" и "&amp;D5,IF(OR(D12&lt;1,D12&gt;30),D5,C5))&amp;" должно быть в пределах от 1 до 30!!!","")</f>
        <v/>
      </c>
      <c r="F12" s="36"/>
      <c r="G12" s="36"/>
      <c r="H12" s="36"/>
      <c r="I12" s="36"/>
      <c r="J12" s="36"/>
      <c r="K12" s="36"/>
    </row>
    <row r="13" spans="2:11" s="6" customFormat="1" x14ac:dyDescent="0.55000000000000004">
      <c r="F13" s="7"/>
    </row>
    <row r="14" spans="2:11" x14ac:dyDescent="0.55000000000000004">
      <c r="B14" s="5"/>
      <c r="C14" s="5"/>
      <c r="D14" s="5"/>
    </row>
    <row r="15" spans="2:11" x14ac:dyDescent="0.55000000000000004">
      <c r="B15" s="5"/>
      <c r="C15" s="5"/>
      <c r="D15" s="5"/>
      <c r="F15" s="2"/>
    </row>
    <row r="16" spans="2:11" x14ac:dyDescent="0.55000000000000004">
      <c r="B16" s="5"/>
      <c r="C16" s="5"/>
      <c r="D16" s="5"/>
      <c r="F16" s="2"/>
    </row>
    <row r="17" spans="2:6" x14ac:dyDescent="0.55000000000000004">
      <c r="B17" s="5"/>
      <c r="C17" s="5"/>
      <c r="D17" s="5"/>
      <c r="F17" s="2"/>
    </row>
    <row r="18" spans="2:6" x14ac:dyDescent="0.55000000000000004">
      <c r="B18" s="5"/>
      <c r="C18" s="5"/>
      <c r="D18" s="5"/>
    </row>
    <row r="19" spans="2:6" x14ac:dyDescent="0.55000000000000004">
      <c r="B19" s="5"/>
      <c r="C19" s="5"/>
      <c r="D19" s="5"/>
    </row>
    <row r="20" spans="2:6" x14ac:dyDescent="0.55000000000000004">
      <c r="B20" s="5"/>
      <c r="C20" s="5"/>
      <c r="D20" s="5"/>
    </row>
    <row r="21" spans="2:6" x14ac:dyDescent="0.55000000000000004">
      <c r="B21" s="5"/>
      <c r="C21" s="5"/>
      <c r="D21" s="5"/>
    </row>
    <row r="22" spans="2:6" x14ac:dyDescent="0.55000000000000004">
      <c r="B22" s="5"/>
      <c r="C22" s="5"/>
      <c r="D22" s="5"/>
    </row>
    <row r="23" spans="2:6" x14ac:dyDescent="0.55000000000000004">
      <c r="B23" s="5"/>
      <c r="C23" s="5"/>
      <c r="D23" s="5"/>
    </row>
    <row r="24" spans="2:6" x14ac:dyDescent="0.55000000000000004">
      <c r="B24" s="5"/>
      <c r="C24" s="5"/>
      <c r="D24" s="5"/>
    </row>
    <row r="25" spans="2:6" x14ac:dyDescent="0.55000000000000004">
      <c r="B25" s="5"/>
      <c r="C25" s="5"/>
      <c r="D25" s="5"/>
    </row>
    <row r="26" spans="2:6" x14ac:dyDescent="0.55000000000000004">
      <c r="B26" s="5"/>
      <c r="C26" s="5"/>
      <c r="D26" s="5"/>
    </row>
    <row r="27" spans="2:6" x14ac:dyDescent="0.55000000000000004">
      <c r="B27" s="5"/>
      <c r="C27" s="5"/>
      <c r="D27" s="5"/>
    </row>
    <row r="28" spans="2:6" x14ac:dyDescent="0.55000000000000004">
      <c r="B28" s="5"/>
      <c r="C28" s="5"/>
      <c r="D28" s="5"/>
    </row>
    <row r="29" spans="2:6" x14ac:dyDescent="0.55000000000000004">
      <c r="B29" s="5"/>
      <c r="C29" s="5"/>
      <c r="D29" s="5"/>
    </row>
    <row r="30" spans="2:6" x14ac:dyDescent="0.55000000000000004">
      <c r="B30" s="5"/>
      <c r="C30" s="5"/>
      <c r="D30" s="5"/>
    </row>
    <row r="31" spans="2:6" x14ac:dyDescent="0.55000000000000004">
      <c r="B31" s="5"/>
      <c r="C31" s="5"/>
      <c r="D31" s="5"/>
    </row>
  </sheetData>
  <sheetProtection sheet="1" objects="1" scenarios="1" selectLockedCells="1"/>
  <mergeCells count="10">
    <mergeCell ref="B1:D1"/>
    <mergeCell ref="B3:D3"/>
    <mergeCell ref="E11:K11"/>
    <mergeCell ref="E12:K12"/>
    <mergeCell ref="E10:K10"/>
    <mergeCell ref="E9:K9"/>
    <mergeCell ref="E7:K7"/>
    <mergeCell ref="E8:K8"/>
    <mergeCell ref="B2:D2"/>
    <mergeCell ref="B4:D4"/>
  </mergeCells>
  <phoneticPr fontId="0" type="noConversion"/>
  <dataValidations count="7">
    <dataValidation type="decimal" allowBlank="1" showInputMessage="1" showErrorMessage="1" error="Доля рабочих может быть только в пределах от 0 до 100%!" sqref="C11:D11">
      <formula1>0</formula1>
      <formula2>100</formula2>
    </dataValidation>
    <dataValidation type="decimal" allowBlank="1" showInputMessage="1" showErrorMessage="1" error="Значение не может быть отрицательным и превышать 8 часов!" sqref="C10:D10">
      <formula1>0</formula1>
      <formula2>8</formula2>
    </dataValidation>
    <dataValidation type="whole" operator="greaterThanOrEqual" allowBlank="1" showInputMessage="1" showErrorMessage="1" error="Число неявок должно быть целым и неотрицательным!" sqref="C9:D9">
      <formula1>0</formula1>
    </dataValidation>
    <dataValidation type="whole" operator="greaterThanOrEqual" allowBlank="1" showInputMessage="1" showErrorMessage="1" error="Число простоев должно быть целым и неотрицательным!" sqref="C8:D8">
      <formula1>0</formula1>
    </dataValidation>
    <dataValidation type="whole" operator="greaterThanOrEqual" allowBlank="1" showInputMessage="1" showErrorMessage="1" error="Отработанное время должно быть целым и неотрицательным!" sqref="C7:D7">
      <formula1>0</formula1>
    </dataValidation>
    <dataValidation type="decimal" operator="greaterThanOrEqual" allowBlank="1" showInputMessage="1" showErrorMessage="1" error="Стоимость произведенной продукции должно быть положительным!" sqref="C6:D6">
      <formula1>0</formula1>
    </dataValidation>
    <dataValidation type="whole" operator="equal" allowBlank="1" showInputMessage="1" showErrorMessage="1" error="В каждом периоде 30 календарных дней!" sqref="C12:D12">
      <formula1>30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  <cellWatches>
    <cellWatch r="G22"/>
    <cellWatch r="G23"/>
    <cellWatch r="G24"/>
    <cellWatch r="G25"/>
    <cellWatch r="G26"/>
    <cellWatch r="G27"/>
    <cellWatch r="G28"/>
    <cellWatch r="G29"/>
    <cellWatch r="G30"/>
    <cellWatch r="G31"/>
  </cellWatche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1:D62"/>
  <sheetViews>
    <sheetView showGridLines="0" workbookViewId="0">
      <selection activeCell="B16" sqref="B16"/>
    </sheetView>
  </sheetViews>
  <sheetFormatPr defaultRowHeight="13" x14ac:dyDescent="0.6"/>
  <cols>
    <col min="1" max="1" width="8.7265625" style="14"/>
    <col min="2" max="2" width="68.7265625" style="14" bestFit="1" customWidth="1"/>
    <col min="3" max="3" width="13.26953125" style="14" customWidth="1"/>
    <col min="4" max="4" width="12.953125" style="14" customWidth="1"/>
    <col min="5" max="16384" width="8.7265625" style="14"/>
  </cols>
  <sheetData>
    <row r="1" spans="2:4" ht="44.25" customHeight="1" x14ac:dyDescent="0.6"/>
    <row r="2" spans="2:4" ht="26.5" customHeight="1" thickBot="1" x14ac:dyDescent="0.8">
      <c r="B2" s="53" t="s">
        <v>22</v>
      </c>
    </row>
    <row r="3" spans="2:4" ht="18.75" customHeight="1" thickBot="1" x14ac:dyDescent="0.75">
      <c r="B3" s="42" t="s">
        <v>0</v>
      </c>
      <c r="C3" s="44" t="s">
        <v>9</v>
      </c>
      <c r="D3" s="45"/>
    </row>
    <row r="4" spans="2:4" ht="18" customHeight="1" thickBot="1" x14ac:dyDescent="0.75">
      <c r="B4" s="43"/>
      <c r="C4" s="17" t="s">
        <v>13</v>
      </c>
      <c r="D4" s="18" t="s">
        <v>14</v>
      </c>
    </row>
    <row r="5" spans="2:4" s="15" customFormat="1" ht="18" customHeight="1" x14ac:dyDescent="0.6">
      <c r="B5" s="19" t="s">
        <v>18</v>
      </c>
      <c r="C5" s="20">
        <f>('Исходные данные'!C7+'Исходные данные'!C8+'Исходные данные'!C9)/'Исходные данные'!C12</f>
        <v>1076</v>
      </c>
      <c r="D5" s="21">
        <f>('Исходные данные'!D7+'Исходные данные'!D8+'Исходные данные'!D9)/'Исходные данные'!D12</f>
        <v>1260.6666666666667</v>
      </c>
    </row>
    <row r="6" spans="2:4" s="15" customFormat="1" ht="18" customHeight="1" x14ac:dyDescent="0.6">
      <c r="B6" s="22" t="s">
        <v>11</v>
      </c>
      <c r="C6" s="23">
        <f>C5*100/'Исходные данные'!C11</f>
        <v>1537.1428571428571</v>
      </c>
      <c r="D6" s="24">
        <f>D5*100/'Исходные данные'!D11</f>
        <v>1616.2393162393164</v>
      </c>
    </row>
    <row r="7" spans="2:4" s="15" customFormat="1" ht="18" customHeight="1" x14ac:dyDescent="0.6">
      <c r="B7" s="22" t="s">
        <v>19</v>
      </c>
      <c r="C7" s="25">
        <f>'Исходные данные'!C6/('Исходные данные'!C7*'Исходные данные'!C10)*1000</f>
        <v>10.165878719973765</v>
      </c>
      <c r="D7" s="26">
        <f>'Исходные данные'!D6/('Исходные данные'!D7*'Исходные данные'!D10)*1000</f>
        <v>9.1903531438415147</v>
      </c>
    </row>
    <row r="8" spans="2:4" s="15" customFormat="1" ht="18" customHeight="1" x14ac:dyDescent="0.6">
      <c r="B8" s="22" t="s">
        <v>20</v>
      </c>
      <c r="C8" s="25">
        <f>'Исходные данные'!C6/'Исходные данные'!C7*1000</f>
        <v>75.227502527805868</v>
      </c>
      <c r="D8" s="26">
        <f>'Исходные данные'!D6/'Исходные данные'!D7*1000</f>
        <v>68.927648578811372</v>
      </c>
    </row>
    <row r="9" spans="2:4" s="15" customFormat="1" ht="18" customHeight="1" x14ac:dyDescent="0.6">
      <c r="B9" s="22" t="s">
        <v>21</v>
      </c>
      <c r="C9" s="25">
        <f>'Исходные данные'!C6/C5*1000</f>
        <v>1728.624535315985</v>
      </c>
      <c r="D9" s="25">
        <f>'Исходные данные'!D6/Решение!D5*1000</f>
        <v>1692.7551560021152</v>
      </c>
    </row>
    <row r="10" spans="2:4" s="15" customFormat="1" ht="18" customHeight="1" thickBot="1" x14ac:dyDescent="0.75">
      <c r="B10" s="27" t="s">
        <v>12</v>
      </c>
      <c r="C10" s="28">
        <f>'Исходные данные'!C6/Решение!C6*1000</f>
        <v>1210.0371747211896</v>
      </c>
      <c r="D10" s="28">
        <f>'Исходные данные'!D6/Решение!D6*1000</f>
        <v>1320.3490216816499</v>
      </c>
    </row>
    <row r="56" spans="2:2" x14ac:dyDescent="0.6">
      <c r="B56" s="16" t="s">
        <v>15</v>
      </c>
    </row>
    <row r="57" spans="2:2" x14ac:dyDescent="0.6">
      <c r="B57" s="16" t="s">
        <v>16</v>
      </c>
    </row>
    <row r="61" spans="2:2" x14ac:dyDescent="0.6">
      <c r="B61" s="16" t="s">
        <v>15</v>
      </c>
    </row>
    <row r="62" spans="2:2" x14ac:dyDescent="0.6">
      <c r="B62" s="16" t="s">
        <v>16</v>
      </c>
    </row>
  </sheetData>
  <sheetProtection sheet="1" objects="1" scenarios="1" selectLockedCells="1" selectUnlockedCells="1"/>
  <mergeCells count="2">
    <mergeCell ref="B3:B4"/>
    <mergeCell ref="C3:D3"/>
  </mergeCells>
  <phoneticPr fontId="0" type="noConversion"/>
  <pageMargins left="0.75" right="0.75" top="1" bottom="1" header="0.5" footer="0.5"/>
  <pageSetup paperSize="9" orientation="portrait" horizontalDpi="4294967293" verticalDpi="0" r:id="rId1"/>
  <headerFooter alignWithMargins="0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2:C2"/>
  <sheetViews>
    <sheetView showGridLines="0" topLeftCell="B1" workbookViewId="0">
      <selection activeCell="S15" sqref="S15"/>
    </sheetView>
  </sheetViews>
  <sheetFormatPr defaultColWidth="9.1328125" defaultRowHeight="13" x14ac:dyDescent="0.6"/>
  <cols>
    <col min="1" max="16384" width="9.1328125" style="13"/>
  </cols>
  <sheetData>
    <row r="2" spans="2:3" ht="14.25" customHeight="1" x14ac:dyDescent="0.65">
      <c r="B2" s="54"/>
      <c r="C2" s="54"/>
    </row>
  </sheetData>
  <sheetProtection sheet="1" objects="1" scenarios="1" selectLockedCells="1" selectUnlockedCells="1"/>
  <mergeCells count="1">
    <mergeCell ref="B2:C2"/>
  </mergeCells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Заставка</vt:lpstr>
      <vt:lpstr>Исходные данные</vt:lpstr>
      <vt:lpstr>Решение</vt:lpstr>
      <vt:lpstr>Диаграмма</vt:lpstr>
    </vt:vector>
  </TitlesOfParts>
  <Company>&lt;arabianhorse&gt;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КИТ (ч.2)</dc:title>
  <dc:subject>Анализ использования рабочего времени</dc:subject>
  <dc:creator>Барышев Павел Евгеньевич</dc:creator>
  <cp:keywords>Выработка, рабочий, работающий</cp:keywords>
  <cp:lastModifiedBy>Ксения Есепкина</cp:lastModifiedBy>
  <dcterms:created xsi:type="dcterms:W3CDTF">2009-04-19T15:06:55Z</dcterms:created>
  <dcterms:modified xsi:type="dcterms:W3CDTF">2019-11-11T10:19:14Z</dcterms:modified>
  <cp:category>Статистика промышленности</cp:category>
</cp:coreProperties>
</file>